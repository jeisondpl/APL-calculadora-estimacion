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INDRA\APL-Calculadora-estimacion\docs\"/>
    </mc:Choice>
  </mc:AlternateContent>
  <xr:revisionPtr revIDLastSave="0" documentId="13_ncr:1_{E2A071DC-489C-4178-BF82-13FF5A3462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allazgos QA" sheetId="1" r:id="rId1"/>
    <sheet name="Descripción columnas" sheetId="2" r:id="rId2"/>
    <sheet name="Leyendas" sheetId="3" r:id="rId3"/>
    <sheet name="Instrucciones" sheetId="4" r:id="rId4"/>
    <sheet name="List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I4" i="1"/>
  <c r="H4" i="1"/>
  <c r="G4" i="1"/>
  <c r="F4" i="1"/>
  <c r="E4" i="1"/>
  <c r="D4" i="1"/>
</calcChain>
</file>

<file path=xl/sharedStrings.xml><?xml version="1.0" encoding="utf-8"?>
<sst xmlns="http://schemas.openxmlformats.org/spreadsheetml/2006/main" count="230" uniqueCount="175">
  <si>
    <t>Campo</t>
  </si>
  <si>
    <t>Valor</t>
  </si>
  <si>
    <t>Total</t>
  </si>
  <si>
    <t>Bugs</t>
  </si>
  <si>
    <t>Recomendaciones</t>
  </si>
  <si>
    <t>Dudas funcionales</t>
  </si>
  <si>
    <t>Abiertos</t>
  </si>
  <si>
    <t>Resueltos/Cerrados</t>
  </si>
  <si>
    <t>Sprint / Versión</t>
  </si>
  <si>
    <t>Branch probado</t>
  </si>
  <si>
    <t>feature/proyectos-con-actividades</t>
  </si>
  <si>
    <t>Ambiente</t>
  </si>
  <si>
    <t>DEV / QA / STAGING</t>
  </si>
  <si>
    <t>Periodo de pruebas</t>
  </si>
  <si>
    <t>Equipo QA</t>
  </si>
  <si>
    <t>Lista de testers</t>
  </si>
  <si>
    <t>Total hallazgos</t>
  </si>
  <si>
    <t>No.</t>
  </si>
  <si>
    <t>Tester</t>
  </si>
  <si>
    <t>Fecha de prueba</t>
  </si>
  <si>
    <t>Módulo / Caso probado</t>
  </si>
  <si>
    <t>Tipo</t>
  </si>
  <si>
    <t>Severidad</t>
  </si>
  <si>
    <t>Prioridad</t>
  </si>
  <si>
    <t>Descripción</t>
  </si>
  <si>
    <t>Pasos para reproducir</t>
  </si>
  <si>
    <t>Resultado esperado</t>
  </si>
  <si>
    <t>Resultado obtenido</t>
  </si>
  <si>
    <t>Evidencia</t>
  </si>
  <si>
    <t>Estado</t>
  </si>
  <si>
    <t>Asignado a</t>
  </si>
  <si>
    <t>Fecha resuelto</t>
  </si>
  <si>
    <t>Comentarios</t>
  </si>
  <si>
    <t>001</t>
  </si>
  <si>
    <t>Jeison Díaz</t>
  </si>
  <si>
    <t>06/05/2026</t>
  </si>
  <si>
    <t>Proyectos &gt; Tab Progreso</t>
  </si>
  <si>
    <t>Bug</t>
  </si>
  <si>
    <t>Crítico</t>
  </si>
  <si>
    <t>Alta</t>
  </si>
  <si>
    <t>El donut por desarrollador no muestra datos cuando la actividad no tiene fechas asignadas</t>
  </si>
  <si>
    <t>1. Login PO
2. Ir a proyecto X
3. Tab Progreso</t>
  </si>
  <si>
    <t>El donut debe mostrar la actividad como "Pendiente"</t>
  </si>
  <si>
    <t>El donut queda vacío y no aparece el desarrollador</t>
  </si>
  <si>
    <t>evidencias/001.png</t>
  </si>
  <si>
    <t>Abierto</t>
  </si>
  <si>
    <t>Reproducible siempre</t>
  </si>
  <si>
    <t>002</t>
  </si>
  <si>
    <t>Calculadora &gt; Componentes</t>
  </si>
  <si>
    <t>Recomendación</t>
  </si>
  <si>
    <t>Menor</t>
  </si>
  <si>
    <t>Media</t>
  </si>
  <si>
    <t>Sería útil mostrar el subtotal en tiempo real al cambiar la cantidad</t>
  </si>
  <si>
    <t>evidencias/002.png</t>
  </si>
  <si>
    <t>Propuesto</t>
  </si>
  <si>
    <t>Mejora UX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</si>
  <si>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</si>
  <si>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</si>
  <si>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</si>
  <si>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</si>
  <si>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</si>
  <si>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</si>
  <si>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</si>
  <si>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</si>
  <si>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</si>
  <si>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</si>
  <si>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</si>
  <si>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</si>
  <si>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</si>
  <si>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</si>
  <si>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</si>
  <si>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</si>
  <si>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</si>
  <si>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</si>
  <si>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</si>
  <si>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</si>
  <si>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</si>
  <si>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</si>
  <si>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</si>
  <si>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Descripción de columnas</t>
  </si>
  <si>
    <t>Columna</t>
  </si>
  <si>
    <t>Valores aceptados / Ejemplo</t>
  </si>
  <si>
    <t>Numeración correlativa del hallazgo</t>
  </si>
  <si>
    <t>001, 002, 003...</t>
  </si>
  <si>
    <t>Nombre completo del QA que reporta</t>
  </si>
  <si>
    <t>Fecha en que se detectó</t>
  </si>
  <si>
    <t>DD/MM/AAAA</t>
  </si>
  <si>
    <t>Sección o caso de uso donde se encontró</t>
  </si>
  <si>
    <t>Proyectos &gt; Tab Progreso, Calculadora, Gantt, Login</t>
  </si>
  <si>
    <t>Naturaleza del hallazgo</t>
  </si>
  <si>
    <t>🐛 Bug | 💡 Recomendación | ❓ Duda funcional</t>
  </si>
  <si>
    <t>Impacto técnico del bug</t>
  </si>
  <si>
    <t>🔴 Bloqueante | 🟠 Crítico | 🟡 Mayor | 🔵 Menor</t>
  </si>
  <si>
    <t>Urgencia para resolver</t>
  </si>
  <si>
    <t>Alta | Media | Baja</t>
  </si>
  <si>
    <t>Resumen claro del problema o mejora</t>
  </si>
  <si>
    <t>Frase corta y descriptiva</t>
  </si>
  <si>
    <t>Secuencia para reproducir el bug</t>
  </si>
  <si>
    <t>1. ... 2. ... 3. ...</t>
  </si>
  <si>
    <t>Qué debería ocurrir</t>
  </si>
  <si>
    <t>Comportamiento correcto esperado</t>
  </si>
  <si>
    <t>Qué realmente ocurre</t>
  </si>
  <si>
    <t>Comportamiento incorrecto observado</t>
  </si>
  <si>
    <t>Ruta o link a captura/video</t>
  </si>
  <si>
    <t>Status actual del hallazgo</t>
  </si>
  <si>
    <t>Abierto | En análisis | En desarrollo | Resuelto | Cerrado | No es bug | Propuesto</t>
  </si>
  <si>
    <t>Desarrollador responsable</t>
  </si>
  <si>
    <t>Nombre o — si no asignado</t>
  </si>
  <si>
    <t>Cuándo se cerró</t>
  </si>
  <si>
    <t>DD/MM/AAAA o —</t>
  </si>
  <si>
    <t>Notas adicionales</t>
  </si>
  <si>
    <t>Workaround, observaciones, contexto</t>
  </si>
  <si>
    <t>Leyendas rápidas</t>
  </si>
  <si>
    <t>Icono</t>
  </si>
  <si>
    <t>Significado</t>
  </si>
  <si>
    <t>Color</t>
  </si>
  <si>
    <t>Nivel</t>
  </si>
  <si>
    <t>Cuándo usar</t>
  </si>
  <si>
    <t>🐛</t>
  </si>
  <si>
    <t>Comportamiento incorrecto</t>
  </si>
  <si>
    <t>🔴</t>
  </si>
  <si>
    <t>Bloqueante</t>
  </si>
  <si>
    <t>Impide totalmente usar el módulo</t>
  </si>
  <si>
    <t>💡</t>
  </si>
  <si>
    <t>Propuesta de mejora</t>
  </si>
  <si>
    <t>🟠</t>
  </si>
  <si>
    <t>Pérdida de datos o cálculo erróneo</t>
  </si>
  <si>
    <t>❓</t>
  </si>
  <si>
    <t>Duda funcional</t>
  </si>
  <si>
    <t>Comportamiento ambiguo, requiere aclaración</t>
  </si>
  <si>
    <t>🟡</t>
  </si>
  <si>
    <t>Mayor</t>
  </si>
  <si>
    <t>Funcionalidad secundaria rota</t>
  </si>
  <si>
    <t>🔵</t>
  </si>
  <si>
    <t>Cosmético, texto, pulido</t>
  </si>
  <si>
    <t>Recién reportado, sin revisar</t>
  </si>
  <si>
    <t>En análisis</t>
  </si>
  <si>
    <t>En revisión por el equipo dev</t>
  </si>
  <si>
    <t>En desarrollo</t>
  </si>
  <si>
    <t>Se está corrigiendo</t>
  </si>
  <si>
    <t>Resuelto</t>
  </si>
  <si>
    <t>Corregido, pendiente de validar</t>
  </si>
  <si>
    <t>Cerrado</t>
  </si>
  <si>
    <t>Validado por QA, OK</t>
  </si>
  <si>
    <t>No es bug</t>
  </si>
  <si>
    <t>Comportamiento correcto, descartado</t>
  </si>
  <si>
    <t>Recomendación en backlog</t>
  </si>
  <si>
    <t>Buenas prácticas para diligenciar la plantilla</t>
  </si>
  <si>
    <t>Práctica</t>
  </si>
  <si>
    <t>1</t>
  </si>
  <si>
    <t>Una fila equivale a un único hallazgo. No agrupar varios bugs en una sola fila.</t>
  </si>
  <si>
    <t>2</t>
  </si>
  <si>
    <t>Usar No. correlativo y único durante toda la sesión o sprint.</t>
  </si>
  <si>
    <t>3</t>
  </si>
  <si>
    <t>Adjuntar evidencia siempre que sea posible: captura mínima o video si el flujo es complejo.</t>
  </si>
  <si>
    <t>4</t>
  </si>
  <si>
    <t>Registrar pasos específicos para que cualquier desarrollador pueda reproducir el caso.</t>
  </si>
  <si>
    <t>5</t>
  </si>
  <si>
    <t>Diferenciar claramente resultado esperado y resultado obtenido.</t>
  </si>
  <si>
    <t>6</t>
  </si>
  <si>
    <t>Si el hallazgo es una recomendación, los campos de pasos, esperado y obtenido pueden quedar en blanco o con guion.</t>
  </si>
  <si>
    <t>7</t>
  </si>
  <si>
    <t>Mantener el estado actualizado durante el ciclo de vida del bug.</t>
  </si>
  <si>
    <t>Baja</t>
  </si>
  <si>
    <t>v1.4.0</t>
  </si>
  <si>
    <t xml:space="preserve">Desarrolladores </t>
  </si>
  <si>
    <t>Jeison Diaz</t>
  </si>
  <si>
    <t>Andres Felipe</t>
  </si>
  <si>
    <t>Fernando Andrés</t>
  </si>
  <si>
    <t>Christian Santiago</t>
  </si>
  <si>
    <t>Laura Sofia</t>
  </si>
  <si>
    <t>Steven Andres</t>
  </si>
  <si>
    <t xml:space="preserve">Plantilla QA — Registro de Hallazgos Calculadora de estimacion indra </t>
  </si>
  <si>
    <t>06/May/2026 al 13/May/2026</t>
  </si>
  <si>
    <t>John Eder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</si>
</sst>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b/>
      <sz val="11"/>
      <color rgb="FF0F172A"/>
      <name val="Carlito"/>
    </font>
    <font>
      <b/>
      <sz val="14"/>
      <color rgb="FF0F172A"/>
      <name val="Carlito"/>
    </font>
    <font>
      <b/>
      <sz val="15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34E4A"/>
      </patternFill>
    </fill>
    <fill>
      <patternFill patternType="solid">
        <fgColor rgb="FF0F766E"/>
      </patternFill>
    </fill>
    <fill>
      <patternFill patternType="solid">
        <fgColor rgb="FFECFDF5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0" fontId="0" fillId="0" borderId="0" xfId="0" applyAlignment="1">
      <alignment vertical="top"/>
    </xf>
    <xf numFmtId="0" fontId="3" fillId="4" borderId="0" xfId="0" applyFont="1" applyFill="1" applyAlignment="1">
      <alignment vertical="top" wrapText="1"/>
    </xf>
    <xf numFmtId="0" fontId="4" fillId="4" borderId="0" xfId="0" applyFont="1" applyFill="1" applyAlignment="1">
      <alignment horizontal="center" vertical="top"/>
    </xf>
    <xf numFmtId="0" fontId="2" fillId="3" borderId="0" xfId="0" applyFont="1" applyFill="1" applyAlignment="1">
      <alignment horizontal="center" vertical="top"/>
    </xf>
    <xf numFmtId="0" fontId="6" fillId="4" borderId="0" xfId="0" applyFont="1" applyFill="1" applyAlignment="1">
      <alignment vertical="top"/>
    </xf>
    <xf numFmtId="0" fontId="2" fillId="5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2" fillId="5" borderId="0" xfId="0" applyFont="1" applyFill="1" applyAlignment="1">
      <alignment horizontal="center" vertical="top"/>
    </xf>
    <xf numFmtId="0" fontId="2" fillId="5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vertical="center"/>
    </xf>
    <xf numFmtId="0" fontId="5" fillId="2" borderId="0" xfId="0" applyFont="1" applyFill="1" applyAlignment="1">
      <alignment horizontal="center" vertical="top"/>
    </xf>
    <xf numFmtId="0" fontId="0" fillId="0" borderId="0" xfId="0" applyAlignment="1">
      <alignment vertical="top"/>
    </xf>
    <xf numFmtId="0" fontId="5" fillId="5" borderId="0" xfId="0" applyFont="1" applyFill="1" applyAlignment="1">
      <alignment horizontal="center" vertical="top" wrapText="1"/>
    </xf>
    <xf numFmtId="0" fontId="0" fillId="5" borderId="0" xfId="0" applyFill="1" applyAlignment="1">
      <alignment vertical="top" wrapText="1"/>
    </xf>
    <xf numFmtId="0" fontId="2" fillId="3" borderId="0" xfId="0" applyFont="1" applyFill="1" applyAlignment="1">
      <alignment horizontal="center" vertical="top"/>
    </xf>
    <xf numFmtId="0" fontId="5" fillId="5" borderId="0" xfId="0" applyFont="1" applyFill="1" applyAlignment="1">
      <alignment horizontal="center" vertical="top"/>
    </xf>
    <xf numFmtId="0" fontId="0" fillId="5" borderId="0" xfId="0" applyFill="1" applyAlignment="1">
      <alignment vertical="top"/>
    </xf>
  </cellXfs>
  <cellStyles count="1">
    <cellStyle name="Normal" xfId="0" builtinId="0"/>
  </cellStyles>
  <dxfs count="9">
    <dxf>
      <fill>
        <patternFill patternType="solid">
          <bgColor rgb="FFEFF6FF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DCFCE7"/>
        </patternFill>
      </fill>
    </dxf>
    <dxf>
      <fill>
        <patternFill patternType="solid">
          <bgColor rgb="FFFFEDD5"/>
        </patternFill>
      </fill>
    </dxf>
    <dxf>
      <font>
        <b/>
        <color rgb="FF1E3A8A"/>
      </font>
      <fill>
        <patternFill patternType="solid">
          <bgColor rgb="FFDBEAFE"/>
        </patternFill>
      </fill>
    </dxf>
    <dxf>
      <font>
        <b/>
        <color rgb="FF713F12"/>
      </font>
      <fill>
        <patternFill patternType="solid">
          <bgColor rgb="FFFEF9C3"/>
        </patternFill>
      </fill>
    </dxf>
    <dxf>
      <font>
        <b/>
        <color rgb="FF7C2D12"/>
      </font>
      <fill>
        <patternFill patternType="solid">
          <bgColor rgb="FFFFEDD5"/>
        </patternFill>
      </fill>
    </dxf>
    <dxf>
      <font>
        <b/>
        <color rgb="FF7F1D1D"/>
      </font>
      <fill>
        <patternFill patternType="solid">
          <bgColor rgb="FFFEE2E2"/>
        </patternFill>
      </fill>
    </dxf>
    <dxf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allazgosTable" displayName="HallazgosTable" ref="A11:P36" headerRowDxfId="8">
  <tableColumns count="16">
    <tableColumn id="1" xr3:uid="{00000000-0010-0000-0000-000001000000}" name="No."/>
    <tableColumn id="2" xr3:uid="{00000000-0010-0000-0000-000002000000}" name="Tester"/>
    <tableColumn id="3" xr3:uid="{00000000-0010-0000-0000-000003000000}" name="Fecha de prueba"/>
    <tableColumn id="4" xr3:uid="{00000000-0010-0000-0000-000004000000}" name="Módulo / Caso probado"/>
    <tableColumn id="5" xr3:uid="{00000000-0010-0000-0000-000005000000}" name="Tipo"/>
    <tableColumn id="6" xr3:uid="{00000000-0010-0000-0000-000006000000}" name="Severidad"/>
    <tableColumn id="7" xr3:uid="{00000000-0010-0000-0000-000007000000}" name="Prioridad"/>
    <tableColumn id="8" xr3:uid="{00000000-0010-0000-0000-000008000000}" name="Descripción"/>
    <tableColumn id="9" xr3:uid="{00000000-0010-0000-0000-000009000000}" name="Pasos para reproducir"/>
    <tableColumn id="10" xr3:uid="{00000000-0010-0000-0000-00000A000000}" name="Resultado esperado"/>
    <tableColumn id="11" xr3:uid="{00000000-0010-0000-0000-00000B000000}" name="Resultado obtenido"/>
    <tableColumn id="12" xr3:uid="{00000000-0010-0000-0000-00000C000000}" name="Evidencia"/>
    <tableColumn id="13" xr3:uid="{00000000-0010-0000-0000-00000D000000}" name="Estado"/>
    <tableColumn id="14" xr3:uid="{00000000-0010-0000-0000-00000E000000}" name="Asignado a"/>
    <tableColumn id="15" xr3:uid="{00000000-0010-0000-0000-00000F000000}" name="Fecha resuelto"/>
    <tableColumn id="16" xr3:uid="{00000000-0010-0000-0000-000010000000}" name="Comentari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escripcionColumnasTable" displayName="DescripcionColumnasTable" ref="A3:C19">
  <tableColumns count="3">
    <tableColumn id="1" xr3:uid="{00000000-0010-0000-0100-000001000000}" name="Columna"/>
    <tableColumn id="2" xr3:uid="{00000000-0010-0000-0100-000002000000}" name="Descripción"/>
    <tableColumn id="3" xr3:uid="{00000000-0010-0000-0100-000003000000}" name="Valores aceptados / Ejemp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activeCell="I8" sqref="I8"/>
    </sheetView>
  </sheetViews>
  <sheetFormatPr baseColWidth="10" defaultColWidth="9" defaultRowHeight="14.25"/>
  <cols>
    <col min="1" max="1" width="12" customWidth="1"/>
    <col min="2" max="2" width="24" customWidth="1"/>
    <col min="3" max="3" width="15" customWidth="1"/>
    <col min="4" max="4" width="28" customWidth="1"/>
    <col min="5" max="5" width="17" customWidth="1"/>
    <col min="6" max="6" width="15" customWidth="1"/>
    <col min="7" max="7" width="14" customWidth="1"/>
    <col min="8" max="8" width="38" customWidth="1"/>
    <col min="9" max="9" width="40" customWidth="1"/>
    <col min="10" max="11" width="32" customWidth="1"/>
    <col min="12" max="12" width="24" customWidth="1"/>
    <col min="13" max="13" width="16" customWidth="1"/>
    <col min="14" max="14" width="18" customWidth="1"/>
    <col min="15" max="15" width="16" customWidth="1"/>
    <col min="16" max="16" width="30" customWidth="1"/>
  </cols>
  <sheetData>
    <row r="1" spans="1:26" ht="48.75" customHeight="1">
      <c r="A1" s="12" t="s">
        <v>172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>
      <c r="A3" s="8" t="s">
        <v>0</v>
      </c>
      <c r="B3" s="8" t="s">
        <v>1</v>
      </c>
      <c r="C3" s="9"/>
      <c r="D3" s="8" t="s">
        <v>2</v>
      </c>
      <c r="E3" s="8" t="s">
        <v>3</v>
      </c>
      <c r="F3" s="8" t="s">
        <v>4</v>
      </c>
      <c r="G3" s="8" t="s">
        <v>5</v>
      </c>
      <c r="H3" s="8" t="s">
        <v>6</v>
      </c>
      <c r="I3" s="8" t="s">
        <v>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>
      <c r="A4" s="4" t="s">
        <v>8</v>
      </c>
      <c r="B4" s="1" t="s">
        <v>164</v>
      </c>
      <c r="C4" s="3"/>
      <c r="D4" s="5">
        <f>COUNTA(A12:A36)</f>
        <v>25</v>
      </c>
      <c r="E4" s="5">
        <f>COUNTIF(E12:E36,"Bug")</f>
        <v>1</v>
      </c>
      <c r="F4" s="5">
        <f>COUNTIF(E12:E36,"Recomendación")</f>
        <v>1</v>
      </c>
      <c r="G4" s="5">
        <f>COUNTIF(E12:E36,"Duda funcional")</f>
        <v>0</v>
      </c>
      <c r="H4" s="5">
        <f>COUNTIF(M12:M36,"Abierto")</f>
        <v>1</v>
      </c>
      <c r="I4" s="5">
        <f>COUNTIF(M12:M36,"Resuelto")+COUNTIF(M12:M36,"Cerrado")</f>
        <v>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>
      <c r="A5" s="4" t="s">
        <v>9</v>
      </c>
      <c r="B5" s="1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">
      <c r="A6" s="4" t="s">
        <v>11</v>
      </c>
      <c r="B6" s="1" t="s">
        <v>12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>
      <c r="A7" s="4" t="s">
        <v>13</v>
      </c>
      <c r="B7" s="1" t="s">
        <v>173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">
      <c r="A8" s="4" t="s">
        <v>14</v>
      </c>
      <c r="B8" s="1" t="s">
        <v>15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2.75">
      <c r="A9" s="4" t="s">
        <v>16</v>
      </c>
      <c r="B9" s="1" t="str">
        <f>"Bugs: "&amp;COUNTIF(E12:E36,"Bug")&amp;" | Recomendaciones: "&amp;COUNTIF(E12:E36,"Recomendación")&amp;" | Dudas: "&amp;COUNTIF(E12:E36,"Duda funcional")</f>
        <v>Bugs: 1 | Recomendaciones: 1 | Dudas: 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42" customHeight="1">
      <c r="A11" s="8" t="s">
        <v>17</v>
      </c>
      <c r="B11" s="8" t="s">
        <v>18</v>
      </c>
      <c r="C11" s="8" t="s">
        <v>19</v>
      </c>
      <c r="D11" s="8" t="s">
        <v>20</v>
      </c>
      <c r="E11" s="8" t="s">
        <v>21</v>
      </c>
      <c r="F11" s="8" t="s">
        <v>22</v>
      </c>
      <c r="G11" s="8" t="s">
        <v>23</v>
      </c>
      <c r="H11" s="8" t="s">
        <v>24</v>
      </c>
      <c r="I11" s="8" t="s">
        <v>25</v>
      </c>
      <c r="J11" s="8" t="s">
        <v>26</v>
      </c>
      <c r="K11" s="8" t="s">
        <v>27</v>
      </c>
      <c r="L11" s="8" t="s">
        <v>28</v>
      </c>
      <c r="M11" s="8" t="s">
        <v>29</v>
      </c>
      <c r="N11" s="8" t="s">
        <v>30</v>
      </c>
      <c r="O11" s="8" t="s">
        <v>31</v>
      </c>
      <c r="P11" s="8" t="s">
        <v>32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2.75">
      <c r="A12" s="1" t="s">
        <v>33</v>
      </c>
      <c r="B12" s="1" t="s">
        <v>171</v>
      </c>
      <c r="C12" s="2" t="s">
        <v>35</v>
      </c>
      <c r="D12" s="1" t="s">
        <v>36</v>
      </c>
      <c r="E12" s="1" t="s">
        <v>37</v>
      </c>
      <c r="F12" s="1" t="s">
        <v>38</v>
      </c>
      <c r="G12" s="1" t="s">
        <v>39</v>
      </c>
      <c r="H12" s="1" t="s">
        <v>40</v>
      </c>
      <c r="I12" s="1" t="s">
        <v>41</v>
      </c>
      <c r="J12" s="1" t="s">
        <v>42</v>
      </c>
      <c r="K12" s="1" t="s">
        <v>43</v>
      </c>
      <c r="L12" s="1" t="s">
        <v>44</v>
      </c>
      <c r="M12" s="1" t="s">
        <v>45</v>
      </c>
      <c r="N12" s="1" t="s">
        <v>166</v>
      </c>
      <c r="O12" s="2"/>
      <c r="P12" s="1" t="s">
        <v>46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8.5">
      <c r="A13" s="1" t="s">
        <v>47</v>
      </c>
      <c r="B13" s="1" t="s">
        <v>166</v>
      </c>
      <c r="C13" s="2" t="s">
        <v>35</v>
      </c>
      <c r="D13" s="1" t="s">
        <v>48</v>
      </c>
      <c r="E13" s="1" t="s">
        <v>49</v>
      </c>
      <c r="F13" s="1" t="s">
        <v>50</v>
      </c>
      <c r="G13" s="1" t="s">
        <v>51</v>
      </c>
      <c r="H13" s="1" t="s">
        <v>52</v>
      </c>
      <c r="I13" s="1"/>
      <c r="J13" s="1"/>
      <c r="K13" s="1"/>
      <c r="L13" s="1" t="s">
        <v>53</v>
      </c>
      <c r="M13" s="1" t="s">
        <v>54</v>
      </c>
      <c r="N13" s="1"/>
      <c r="O13" s="2"/>
      <c r="P13" s="1" t="s">
        <v>55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" t="s">
        <v>56</v>
      </c>
      <c r="B14" s="1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/>
      <c r="P14" s="1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" t="s">
        <v>57</v>
      </c>
      <c r="B15" s="1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"/>
      <c r="P15" s="1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1" t="s">
        <v>58</v>
      </c>
      <c r="B16" s="1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"/>
      <c r="P16" s="1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" t="s">
        <v>59</v>
      </c>
      <c r="B17" s="1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"/>
      <c r="P17" s="1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" t="s">
        <v>60</v>
      </c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"/>
      <c r="P18" s="1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" t="s">
        <v>61</v>
      </c>
      <c r="B19" s="1"/>
      <c r="C19" s="2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"/>
      <c r="P19" s="1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1" t="s">
        <v>62</v>
      </c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"/>
      <c r="P20" s="1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1" t="s">
        <v>63</v>
      </c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"/>
      <c r="P21" s="1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1" t="s">
        <v>64</v>
      </c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"/>
      <c r="P22" s="1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1" t="s">
        <v>65</v>
      </c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"/>
      <c r="P23" s="1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1" t="s">
        <v>66</v>
      </c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"/>
      <c r="P24" s="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1" t="s">
        <v>67</v>
      </c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"/>
      <c r="P25" s="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1" t="s">
        <v>68</v>
      </c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"/>
      <c r="P26" s="1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1" t="s">
        <v>69</v>
      </c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"/>
      <c r="P27" s="1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1" t="s">
        <v>70</v>
      </c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/>
      <c r="P28" s="1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1" t="s">
        <v>71</v>
      </c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2"/>
      <c r="P29" s="1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1" t="s">
        <v>72</v>
      </c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2"/>
      <c r="P30" s="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1" t="s">
        <v>73</v>
      </c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2"/>
      <c r="P31" s="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1" t="s">
        <v>74</v>
      </c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2"/>
      <c r="P32" s="1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1" t="s">
        <v>75</v>
      </c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2"/>
      <c r="P33" s="1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1" t="s">
        <v>76</v>
      </c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2"/>
      <c r="P34" s="1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1" t="s">
        <v>77</v>
      </c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2"/>
      <c r="P35" s="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1" t="s">
        <v>78</v>
      </c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2"/>
      <c r="P36" s="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mergeCells count="1">
    <mergeCell ref="A1:P1"/>
  </mergeCells>
  <conditionalFormatting sqref="F12:F36">
    <cfRule type="expression" dxfId="7" priority="1">
      <formula>F12="Bloqueante"</formula>
    </cfRule>
    <cfRule type="expression" dxfId="6" priority="2">
      <formula>F12="Crítico"</formula>
    </cfRule>
    <cfRule type="expression" dxfId="5" priority="3">
      <formula>F12="Mayor"</formula>
    </cfRule>
    <cfRule type="expression" dxfId="4" priority="4">
      <formula>F12="Menor"</formula>
    </cfRule>
  </conditionalFormatting>
  <conditionalFormatting sqref="M12:M36">
    <cfRule type="expression" dxfId="3" priority="5">
      <formula>M12="Abierto"</formula>
    </cfRule>
    <cfRule type="expression" dxfId="2" priority="6">
      <formula>M12="Resuelto"</formula>
    </cfRule>
    <cfRule type="expression" dxfId="1" priority="7">
      <formula>M12="Cerrado"</formula>
    </cfRule>
    <cfRule type="expression" dxfId="0" priority="8">
      <formula>M12="Propuesto"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0000000}">
          <x14:formula1>
            <xm:f>Listas!$A$2:$A$4</xm:f>
          </x14:formula1>
          <xm:sqref>E12:E36</xm:sqref>
        </x14:dataValidation>
        <x14:dataValidation type="list" xr:uid="{00000000-0002-0000-0000-000001000000}">
          <x14:formula1>
            <xm:f>Listas!$B$2:$B$5</xm:f>
          </x14:formula1>
          <xm:sqref>F12:F36</xm:sqref>
        </x14:dataValidation>
        <x14:dataValidation type="list" xr:uid="{00000000-0002-0000-0000-000002000000}">
          <x14:formula1>
            <xm:f>Listas!$C$2:$C$4</xm:f>
          </x14:formula1>
          <xm:sqref>G12:G36</xm:sqref>
        </x14:dataValidation>
        <x14:dataValidation type="list" xr:uid="{00000000-0002-0000-0000-000003000000}">
          <x14:formula1>
            <xm:f>Listas!$D$2:$D$8</xm:f>
          </x14:formula1>
          <xm:sqref>M12:M36</xm:sqref>
        </x14:dataValidation>
        <x14:dataValidation type="list" allowBlank="1" showInputMessage="1" showErrorMessage="1" xr:uid="{734EB462-F3E8-4E1D-A532-37BF08C75357}">
          <x14:formula1>
            <xm:f>Listas!$E$2:$E$8</xm:f>
          </x14:formula1>
          <xm:sqref>N12</xm:sqref>
        </x14:dataValidation>
        <x14:dataValidation type="list" allowBlank="1" showInputMessage="1" showErrorMessage="1" xr:uid="{3B9B92B7-FD50-4481-BEC9-5A6813272ABA}">
          <x14:formula1>
            <xm:f>Listas!$E$2:$E$10</xm:f>
          </x14:formula1>
          <xm:sqref>B12:B36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>
      <selection activeCell="C25" sqref="C25"/>
    </sheetView>
  </sheetViews>
  <sheetFormatPr baseColWidth="10" defaultColWidth="9" defaultRowHeight="14.25"/>
  <cols>
    <col min="1" max="1" width="24" customWidth="1"/>
    <col min="2" max="2" width="45" customWidth="1"/>
    <col min="3" max="3" width="60" customWidth="1"/>
  </cols>
  <sheetData>
    <row r="1" spans="1:26" ht="27.95" customHeight="1">
      <c r="A1" s="14" t="s">
        <v>79</v>
      </c>
      <c r="B1" s="15"/>
      <c r="C1" s="15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>
      <c r="A3" s="6" t="s">
        <v>80</v>
      </c>
      <c r="B3" s="6" t="s">
        <v>24</v>
      </c>
      <c r="C3" s="6" t="s">
        <v>81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1" t="s">
        <v>17</v>
      </c>
      <c r="B4" s="1" t="s">
        <v>82</v>
      </c>
      <c r="C4" s="1" t="s">
        <v>83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1" t="s">
        <v>18</v>
      </c>
      <c r="B5" s="1" t="s">
        <v>84</v>
      </c>
      <c r="C5" s="1" t="s">
        <v>34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1" t="s">
        <v>19</v>
      </c>
      <c r="B6" s="1" t="s">
        <v>85</v>
      </c>
      <c r="C6" s="1" t="s">
        <v>86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1" t="s">
        <v>20</v>
      </c>
      <c r="B7" s="1" t="s">
        <v>87</v>
      </c>
      <c r="C7" s="1" t="s">
        <v>88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1" t="s">
        <v>21</v>
      </c>
      <c r="B8" s="1" t="s">
        <v>89</v>
      </c>
      <c r="C8" s="1" t="s">
        <v>90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1" t="s">
        <v>22</v>
      </c>
      <c r="B9" s="1" t="s">
        <v>91</v>
      </c>
      <c r="C9" s="1" t="s">
        <v>92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1" t="s">
        <v>23</v>
      </c>
      <c r="B10" s="1" t="s">
        <v>93</v>
      </c>
      <c r="C10" s="1" t="s">
        <v>94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1" t="s">
        <v>24</v>
      </c>
      <c r="B11" s="1" t="s">
        <v>95</v>
      </c>
      <c r="C11" s="1" t="s">
        <v>96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1" t="s">
        <v>25</v>
      </c>
      <c r="B12" s="1" t="s">
        <v>97</v>
      </c>
      <c r="C12" s="1" t="s">
        <v>98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1" t="s">
        <v>26</v>
      </c>
      <c r="B13" s="1" t="s">
        <v>99</v>
      </c>
      <c r="C13" s="1" t="s">
        <v>100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1" t="s">
        <v>27</v>
      </c>
      <c r="B14" s="1" t="s">
        <v>101</v>
      </c>
      <c r="C14" s="1" t="s">
        <v>102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1" t="s">
        <v>28</v>
      </c>
      <c r="B15" s="1" t="s">
        <v>103</v>
      </c>
      <c r="C15" s="1" t="s">
        <v>44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8.5">
      <c r="A16" s="1" t="s">
        <v>29</v>
      </c>
      <c r="B16" s="1" t="s">
        <v>104</v>
      </c>
      <c r="C16" s="1" t="s">
        <v>105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1" t="s">
        <v>30</v>
      </c>
      <c r="B17" s="1" t="s">
        <v>106</v>
      </c>
      <c r="C17" s="1" t="s">
        <v>107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1" t="s">
        <v>31</v>
      </c>
      <c r="B18" s="1" t="s">
        <v>108</v>
      </c>
      <c r="C18" s="1" t="s">
        <v>109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1" t="s">
        <v>32</v>
      </c>
      <c r="B19" s="1" t="s">
        <v>110</v>
      </c>
      <c r="C19" s="1" t="s">
        <v>111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>
      <selection activeCell="G28" sqref="G28"/>
    </sheetView>
  </sheetViews>
  <sheetFormatPr baseColWidth="10" defaultColWidth="9" defaultRowHeight="14.25"/>
  <cols>
    <col min="1" max="3" width="24" customWidth="1"/>
    <col min="5" max="7" width="24" customWidth="1"/>
  </cols>
  <sheetData>
    <row r="1" spans="1:26" ht="27.95" customHeight="1">
      <c r="A1" s="16" t="s">
        <v>112</v>
      </c>
      <c r="B1" s="17"/>
      <c r="C1" s="17"/>
      <c r="D1" s="17"/>
      <c r="E1" s="17"/>
      <c r="F1" s="17"/>
      <c r="G1" s="17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>
      <c r="A3" s="18" t="s">
        <v>21</v>
      </c>
      <c r="B3" s="15"/>
      <c r="C3" s="15"/>
      <c r="D3" s="3"/>
      <c r="E3" s="18" t="s">
        <v>22</v>
      </c>
      <c r="F3" s="15"/>
      <c r="G3" s="1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">
      <c r="A4" s="7" t="s">
        <v>113</v>
      </c>
      <c r="B4" s="7" t="s">
        <v>21</v>
      </c>
      <c r="C4" s="7" t="s">
        <v>114</v>
      </c>
      <c r="D4" s="3"/>
      <c r="E4" s="7" t="s">
        <v>115</v>
      </c>
      <c r="F4" s="7" t="s">
        <v>116</v>
      </c>
      <c r="G4" s="7" t="s">
        <v>117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118</v>
      </c>
      <c r="B5" s="3" t="s">
        <v>37</v>
      </c>
      <c r="C5" s="3" t="s">
        <v>119</v>
      </c>
      <c r="D5" s="3"/>
      <c r="E5" s="3" t="s">
        <v>120</v>
      </c>
      <c r="F5" s="3" t="s">
        <v>121</v>
      </c>
      <c r="G5" s="3" t="s">
        <v>122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123</v>
      </c>
      <c r="B6" s="3" t="s">
        <v>49</v>
      </c>
      <c r="C6" s="3" t="s">
        <v>124</v>
      </c>
      <c r="D6" s="3"/>
      <c r="E6" s="3" t="s">
        <v>125</v>
      </c>
      <c r="F6" s="3" t="s">
        <v>38</v>
      </c>
      <c r="G6" s="3" t="s">
        <v>126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127</v>
      </c>
      <c r="B7" s="3" t="s">
        <v>128</v>
      </c>
      <c r="C7" s="3" t="s">
        <v>129</v>
      </c>
      <c r="D7" s="3"/>
      <c r="E7" s="3" t="s">
        <v>130</v>
      </c>
      <c r="F7" s="3" t="s">
        <v>131</v>
      </c>
      <c r="G7" s="3" t="s">
        <v>132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/>
      <c r="E8" s="3" t="s">
        <v>133</v>
      </c>
      <c r="F8" s="3" t="s">
        <v>50</v>
      </c>
      <c r="G8" s="3" t="s">
        <v>134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">
      <c r="A11" s="18" t="s">
        <v>29</v>
      </c>
      <c r="B11" s="1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>
      <c r="A12" s="7" t="s">
        <v>29</v>
      </c>
      <c r="B12" s="7" t="s">
        <v>114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 t="s">
        <v>45</v>
      </c>
      <c r="B13" s="3" t="s">
        <v>135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 t="s">
        <v>136</v>
      </c>
      <c r="B14" s="3" t="s">
        <v>137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 t="s">
        <v>138</v>
      </c>
      <c r="B15" s="3" t="s">
        <v>139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 t="s">
        <v>140</v>
      </c>
      <c r="B16" s="3" t="s">
        <v>141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 t="s">
        <v>142</v>
      </c>
      <c r="B17" s="3" t="s">
        <v>143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 t="s">
        <v>144</v>
      </c>
      <c r="B18" s="3" t="s">
        <v>145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 t="s">
        <v>54</v>
      </c>
      <c r="B19" s="3" t="s">
        <v>146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mergeCells count="4">
    <mergeCell ref="A1:G1"/>
    <mergeCell ref="A3:C3"/>
    <mergeCell ref="E3:G3"/>
    <mergeCell ref="A11:B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>
      <selection activeCell="B4" sqref="B4:B14"/>
    </sheetView>
  </sheetViews>
  <sheetFormatPr baseColWidth="10" defaultColWidth="9" defaultRowHeight="14.25"/>
  <cols>
    <col min="1" max="1" width="8" customWidth="1"/>
    <col min="2" max="2" width="100" customWidth="1"/>
  </cols>
  <sheetData>
    <row r="1" spans="1:26" ht="27.95" customHeight="1">
      <c r="A1" s="19" t="s">
        <v>147</v>
      </c>
      <c r="B1" s="20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">
      <c r="A3" s="10" t="s">
        <v>17</v>
      </c>
      <c r="B3" s="10" t="s">
        <v>148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149</v>
      </c>
      <c r="B4" s="1" t="s">
        <v>150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 t="s">
        <v>151</v>
      </c>
      <c r="B5" s="1" t="s">
        <v>152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 t="s">
        <v>153</v>
      </c>
      <c r="B6" s="1" t="s">
        <v>154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 t="s">
        <v>155</v>
      </c>
      <c r="B7" s="1" t="s">
        <v>156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 t="s">
        <v>157</v>
      </c>
      <c r="B8" s="1" t="s">
        <v>158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8.5">
      <c r="A9" s="3" t="s">
        <v>159</v>
      </c>
      <c r="B9" s="1" t="s">
        <v>160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 t="s">
        <v>161</v>
      </c>
      <c r="B10" s="1" t="s">
        <v>162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>
      <selection activeCell="E16" sqref="E16"/>
    </sheetView>
  </sheetViews>
  <sheetFormatPr baseColWidth="10" defaultColWidth="9" defaultRowHeight="14.25"/>
  <cols>
    <col min="1" max="4" width="24" customWidth="1"/>
    <col min="5" max="5" width="30.375" customWidth="1"/>
  </cols>
  <sheetData>
    <row r="1" spans="1:26" ht="34.5" customHeight="1">
      <c r="A1" s="11" t="s">
        <v>21</v>
      </c>
      <c r="B1" s="11" t="s">
        <v>22</v>
      </c>
      <c r="C1" s="11" t="s">
        <v>23</v>
      </c>
      <c r="D1" s="11" t="s">
        <v>29</v>
      </c>
      <c r="E1" s="11" t="s">
        <v>165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 t="s">
        <v>37</v>
      </c>
      <c r="B2" s="3" t="s">
        <v>121</v>
      </c>
      <c r="C2" s="3" t="s">
        <v>39</v>
      </c>
      <c r="D2" s="3" t="s">
        <v>45</v>
      </c>
      <c r="E2" s="3" t="s">
        <v>166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 t="s">
        <v>49</v>
      </c>
      <c r="B3" s="3" t="s">
        <v>38</v>
      </c>
      <c r="C3" s="3" t="s">
        <v>51</v>
      </c>
      <c r="D3" s="3" t="s">
        <v>136</v>
      </c>
      <c r="E3" s="3" t="s">
        <v>167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>
      <c r="A4" s="3" t="s">
        <v>128</v>
      </c>
      <c r="B4" s="3" t="s">
        <v>131</v>
      </c>
      <c r="C4" s="3" t="s">
        <v>163</v>
      </c>
      <c r="D4" s="3" t="s">
        <v>138</v>
      </c>
      <c r="E4" s="3" t="s">
        <v>168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>
      <c r="A5" s="3"/>
      <c r="B5" s="3" t="s">
        <v>50</v>
      </c>
      <c r="C5" s="3"/>
      <c r="D5" s="3" t="s">
        <v>140</v>
      </c>
      <c r="E5" s="3" t="s">
        <v>169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>
      <c r="A6" s="3"/>
      <c r="B6" s="3"/>
      <c r="C6" s="3"/>
      <c r="D6" s="3" t="s">
        <v>142</v>
      </c>
      <c r="E6" s="3" t="s">
        <v>170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>
      <c r="A7" s="3"/>
      <c r="B7" s="3"/>
      <c r="C7" s="3"/>
      <c r="D7" s="3" t="s">
        <v>144</v>
      </c>
      <c r="E7" s="3" t="s">
        <v>171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>
      <c r="A8" s="3"/>
      <c r="B8" s="3"/>
      <c r="C8" s="3"/>
      <c r="D8" s="3" t="s">
        <v>54</v>
      </c>
      <c r="E8" s="3" t="s">
        <v>174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Hallazgos QA</vt:lpstr>
      <vt:lpstr>Descripción columnas</vt:lpstr>
      <vt:lpstr>Leyendas</vt:lpstr>
      <vt:lpstr>Instrucciones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Diaz Palmera, Jeison Antonio</cp:lastModifiedBy>
  <dcterms:created xsi:type="dcterms:W3CDTF">2026-05-06T17:57:42Z</dcterms:created>
  <dcterms:modified xsi:type="dcterms:W3CDTF">2026-05-07T22:59:01Z</dcterms:modified>
</cp:coreProperties>
</file>